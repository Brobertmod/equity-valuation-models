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F Model" sheetId="1" state="visible" r:id="rId1"/>
    <sheet name="DCF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AAPL - Discounted Cash Flow Model</t>
        </is>
      </c>
    </row>
    <row r="3">
      <c r="A3" s="2" t="inlineStr">
        <is>
          <t>Key Assumptions</t>
        </is>
      </c>
    </row>
    <row r="4">
      <c r="A4" t="inlineStr">
        <is>
          <t>Revenue Growth Rate (Years 1-5)</t>
        </is>
      </c>
      <c r="B4" t="inlineStr">
        <is>
          <t>10%</t>
        </is>
      </c>
    </row>
    <row r="5">
      <c r="A5" t="inlineStr">
        <is>
          <t>Terminal Growth Rate</t>
        </is>
      </c>
      <c r="B5" t="inlineStr">
        <is>
          <t>3%</t>
        </is>
      </c>
    </row>
    <row r="6">
      <c r="A6" t="inlineStr">
        <is>
          <t>WACC (Discount Rate)</t>
        </is>
      </c>
      <c r="B6" t="inlineStr">
        <is>
          <t>10%</t>
        </is>
      </c>
    </row>
    <row r="7">
      <c r="A7" t="inlineStr">
        <is>
          <t>Tax Rate</t>
        </is>
      </c>
      <c r="B7" t="inlineStr">
        <is>
          <t>25%</t>
        </is>
      </c>
    </row>
    <row r="8">
      <c r="A8" t="inlineStr">
        <is>
          <t>EBITDA Margin</t>
        </is>
      </c>
      <c r="B8" t="inlineStr">
        <is>
          <t>20%</t>
        </is>
      </c>
    </row>
    <row r="9">
      <c r="A9" t="inlineStr">
        <is>
          <t>Capex as % of Revenue</t>
        </is>
      </c>
      <c r="B9" t="inlineStr">
        <is>
          <t>3%</t>
        </is>
      </c>
    </row>
    <row r="10">
      <c r="A10" t="inlineStr">
        <is>
          <t>Working Capital Change</t>
        </is>
      </c>
      <c r="B10" t="inlineStr">
        <is>
          <t>1%</t>
        </is>
      </c>
    </row>
    <row r="12">
      <c r="A12" s="2" t="inlineStr">
        <is>
          <t>Current</t>
        </is>
      </c>
      <c r="B12" s="2" t="inlineStr">
        <is>
          <t>Year 1</t>
        </is>
      </c>
      <c r="C12" s="2" t="inlineStr">
        <is>
          <t>Year 2</t>
        </is>
      </c>
      <c r="D12" s="2" t="inlineStr">
        <is>
          <t>Year 3</t>
        </is>
      </c>
      <c r="E12" s="2" t="inlineStr">
        <is>
          <t>Year 4</t>
        </is>
      </c>
      <c r="F12" s="2" t="inlineStr">
        <is>
          <t>Year 5</t>
        </is>
      </c>
      <c r="G12" s="2" t="inlineStr">
        <is>
          <t>Terminal</t>
        </is>
      </c>
    </row>
    <row r="13">
      <c r="A13" t="inlineStr">
        <is>
          <t>Revenue</t>
        </is>
      </c>
      <c r="B13" t="n">
        <v>0</v>
      </c>
      <c r="C13">
        <f>B13*(1+$B$4)</f>
        <v/>
      </c>
      <c r="D13">
        <f>C13*(1+$B$4)</f>
        <v/>
      </c>
      <c r="E13">
        <f>D13*(1+$B$4)</f>
        <v/>
      </c>
      <c r="F13">
        <f>E13*(1+$B$4)</f>
        <v/>
      </c>
      <c r="G13">
        <f>F13*(1+$B$4)</f>
        <v/>
      </c>
      <c r="H13">
        <f>G13*(1+$B$5)</f>
        <v/>
      </c>
    </row>
    <row r="14">
      <c r="A14" t="inlineStr">
        <is>
          <t>EBITDA</t>
        </is>
      </c>
      <c r="B14">
        <f>B13*$B$7</f>
        <v/>
      </c>
      <c r="C14">
        <f>C13*$B$7</f>
        <v/>
      </c>
      <c r="D14">
        <f>D13*$B$7</f>
        <v/>
      </c>
      <c r="E14">
        <f>E13*$B$7</f>
        <v/>
      </c>
      <c r="F14">
        <f>F13*$B$7</f>
        <v/>
      </c>
      <c r="G14">
        <f>G13*$B$7</f>
        <v/>
      </c>
      <c r="H14">
        <f>H13*$B$7</f>
        <v/>
      </c>
    </row>
    <row r="15">
      <c r="A15" t="inlineStr">
        <is>
          <t>EBIT</t>
        </is>
      </c>
      <c r="B15">
        <f>B14</f>
        <v/>
      </c>
      <c r="C15">
        <f>C14</f>
        <v/>
      </c>
      <c r="D15">
        <f>D14</f>
        <v/>
      </c>
      <c r="E15">
        <f>E14</f>
        <v/>
      </c>
      <c r="F15">
        <f>F14</f>
        <v/>
      </c>
      <c r="G15">
        <f>G14</f>
        <v/>
      </c>
      <c r="H15">
        <f>H14</f>
        <v/>
      </c>
    </row>
    <row r="16">
      <c r="A16" t="inlineStr">
        <is>
          <t>Tax</t>
        </is>
      </c>
      <c r="B16">
        <f>B15*$B$6</f>
        <v/>
      </c>
      <c r="C16">
        <f>C15*$B$6</f>
        <v/>
      </c>
      <c r="D16">
        <f>D15*$B$6</f>
        <v/>
      </c>
      <c r="E16">
        <f>E15*$B$6</f>
        <v/>
      </c>
      <c r="F16">
        <f>F15*$B$6</f>
        <v/>
      </c>
      <c r="G16">
        <f>G15*$B$6</f>
        <v/>
      </c>
      <c r="H16">
        <f>H15*$B$6</f>
        <v/>
      </c>
    </row>
    <row r="17">
      <c r="A17" t="inlineStr">
        <is>
          <t>NOPAT</t>
        </is>
      </c>
      <c r="B17">
        <f>B15-B16</f>
        <v/>
      </c>
      <c r="C17">
        <f>C15-C16</f>
        <v/>
      </c>
      <c r="D17">
        <f>D15-D16</f>
        <v/>
      </c>
      <c r="E17">
        <f>E15-E16</f>
        <v/>
      </c>
      <c r="F17">
        <f>F15-F16</f>
        <v/>
      </c>
      <c r="G17">
        <f>G15-G16</f>
        <v/>
      </c>
      <c r="H17">
        <f>H15-H16</f>
        <v/>
      </c>
    </row>
    <row r="18">
      <c r="A18" t="inlineStr">
        <is>
          <t>Capex</t>
        </is>
      </c>
      <c r="B18">
        <f>B13*$B$8</f>
        <v/>
      </c>
      <c r="C18">
        <f>C13*$B$8</f>
        <v/>
      </c>
      <c r="D18">
        <f>D13*$B$8</f>
        <v/>
      </c>
      <c r="E18">
        <f>E13*$B$8</f>
        <v/>
      </c>
      <c r="F18">
        <f>F13*$B$8</f>
        <v/>
      </c>
      <c r="G18">
        <f>G13*$B$8</f>
        <v/>
      </c>
      <c r="H18">
        <f>H13*$B$8</f>
        <v/>
      </c>
    </row>
    <row r="19">
      <c r="A19" t="inlineStr">
        <is>
          <t>Working Capital Change</t>
        </is>
      </c>
      <c r="B19">
        <f>B13*$B$9</f>
        <v/>
      </c>
      <c r="C19">
        <f>C13*$B$9</f>
        <v/>
      </c>
      <c r="D19">
        <f>D13*$B$9</f>
        <v/>
      </c>
      <c r="E19">
        <f>E13*$B$9</f>
        <v/>
      </c>
      <c r="F19">
        <f>F13*$B$9</f>
        <v/>
      </c>
      <c r="G19">
        <f>G13*$B$9</f>
        <v/>
      </c>
      <c r="H19">
        <f>H13*$B$9</f>
        <v/>
      </c>
    </row>
    <row r="20">
      <c r="A20" t="inlineStr">
        <is>
          <t>Free Cash Flow</t>
        </is>
      </c>
      <c r="B20">
        <f>B17-B18-B19</f>
        <v/>
      </c>
      <c r="C20">
        <f>C17-C18-C19</f>
        <v/>
      </c>
      <c r="D20">
        <f>D17-D18-D19</f>
        <v/>
      </c>
      <c r="E20">
        <f>E17-E18-E19</f>
        <v/>
      </c>
      <c r="F20">
        <f>F17-F18-F19</f>
        <v/>
      </c>
      <c r="G20">
        <f>G17-G18-G19</f>
        <v/>
      </c>
      <c r="H20">
        <f>H17-H18-H19</f>
        <v/>
      </c>
    </row>
    <row r="22">
      <c r="A22" s="2" t="inlineStr">
        <is>
          <t>Valuation</t>
        </is>
      </c>
    </row>
    <row r="23">
      <c r="A23" t="inlineStr">
        <is>
          <t>Terminal Value</t>
        </is>
      </c>
      <c r="B23">
        <f>H20/($B$5-$B$6)</f>
        <v/>
      </c>
    </row>
    <row r="24">
      <c r="A24" t="inlineStr">
        <is>
          <t>PV of Terminal Value</t>
        </is>
      </c>
      <c r="B24">
        <f>B23/((1+$B$6)^5)</f>
        <v/>
      </c>
    </row>
    <row r="25">
      <c r="A25" t="inlineStr">
        <is>
          <t>Sum of PV of FCF (Years 1-5)</t>
        </is>
      </c>
      <c r="B25">
        <f>NPV($B$6,C20:G20)</f>
        <v/>
      </c>
    </row>
    <row r="26">
      <c r="A26" t="inlineStr">
        <is>
          <t>Enterprise Value</t>
        </is>
      </c>
      <c r="B26">
        <f>B24+B25</f>
        <v/>
      </c>
    </row>
    <row r="27">
      <c r="A27" t="inlineStr">
        <is>
          <t>Less: Net Debt</t>
        </is>
      </c>
      <c r="B27" t="n">
        <v>76686000000</v>
      </c>
    </row>
    <row r="28">
      <c r="A28" t="inlineStr">
        <is>
          <t>Equity Value</t>
        </is>
      </c>
      <c r="B28">
        <f>B26-B27</f>
        <v/>
      </c>
    </row>
    <row r="29">
      <c r="A29" t="inlineStr">
        <is>
          <t>Shares Outstanding</t>
        </is>
      </c>
      <c r="B29" t="n">
        <v>14935799649.32752</v>
      </c>
    </row>
    <row r="30">
      <c r="A30" t="inlineStr">
        <is>
          <t>DCF Price per Share</t>
        </is>
      </c>
      <c r="B30">
        <f>B28/B29</f>
        <v/>
      </c>
    </row>
    <row r="31">
      <c r="A31" t="inlineStr">
        <is>
          <t>Current Price</t>
        </is>
      </c>
      <c r="B31" t="n">
        <v>211.16</v>
      </c>
    </row>
    <row r="32">
      <c r="A32" t="inlineStr">
        <is>
          <t>Upside/Downside</t>
        </is>
      </c>
      <c r="B32" s="3">
        <f>(B30-B31)/B31</f>
        <v/>
      </c>
    </row>
  </sheetData>
  <mergeCells count="2">
    <mergeCell ref="A3:B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DCF Sensitivity Analysis</t>
        </is>
      </c>
    </row>
    <row r="2">
      <c r="B2" s="2" t="inlineStr">
        <is>
          <t>8%</t>
        </is>
      </c>
      <c r="C2" s="2" t="inlineStr">
        <is>
          <t>9%</t>
        </is>
      </c>
      <c r="D2" s="2" t="inlineStr">
        <is>
          <t>10%</t>
        </is>
      </c>
      <c r="E2" s="2" t="inlineStr">
        <is>
          <t>11%</t>
        </is>
      </c>
      <c r="F2" s="2" t="inlineStr">
        <is>
          <t>12%</t>
        </is>
      </c>
      <c r="G2" s="2" t="inlineStr">
        <is>
          <t>13%</t>
        </is>
      </c>
      <c r="H2" s="2" t="inlineStr">
        <is>
          <t>14%</t>
        </is>
      </c>
    </row>
    <row r="3">
      <c r="A3" s="2" t="inlineStr">
        <is>
          <t>1%</t>
        </is>
      </c>
    </row>
    <row r="4">
      <c r="A4" s="2" t="inlineStr">
        <is>
          <t>2%</t>
        </is>
      </c>
    </row>
    <row r="5">
      <c r="A5" s="2" t="inlineStr">
        <is>
          <t>3%</t>
        </is>
      </c>
    </row>
    <row r="6">
      <c r="A6" s="2" t="inlineStr">
        <is>
          <t>4%</t>
        </is>
      </c>
    </row>
    <row r="7">
      <c r="A7" s="2" t="inlineStr">
        <is>
          <t>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2025-07-12T17:38:28Z</dcterms:created>
  <dcterms:modified xsi:type="dcterms:W3CDTF">2025-07-12T17:38:28Z</dcterms:modified>
</cp:coreProperties>
</file>