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Model" sheetId="1" state="visible" r:id="rId1"/>
    <sheet name="DCF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i val="1"/>
      <color rgb="00666666"/>
      <sz val="9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Discounted Cash Flow Model</t>
        </is>
      </c>
    </row>
    <row r="2">
      <c r="A2" t="inlineStr">
        <is>
          <t>Ticker Symbol:</t>
        </is>
      </c>
      <c r="B2" s="2" t="inlineStr">
        <is>
          <t>APH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>
      <c r="A3" s="4" t="inlineStr">
        <is>
          <t>Data Source: Yahoo Finance &amp; Financial Modeling Prep</t>
        </is>
      </c>
    </row>
    <row r="4">
      <c r="A4" t="inlineStr">
        <is>
          <t>Company Name:</t>
        </is>
      </c>
      <c r="B4" t="inlineStr">
        <is>
          <t>Amphenol Corporation</t>
        </is>
      </c>
    </row>
    <row r="6">
      <c r="A6" s="5" t="inlineStr">
        <is>
          <t>Key Assumptions</t>
        </is>
      </c>
    </row>
    <row r="7">
      <c r="A7" t="inlineStr">
        <is>
          <t>Revenue Growth Rate (Years 1-5)</t>
        </is>
      </c>
      <c r="B7" t="inlineStr">
        <is>
          <t>10%</t>
        </is>
      </c>
    </row>
    <row r="8">
      <c r="A8" t="inlineStr">
        <is>
          <t>Terminal Growth Rate</t>
        </is>
      </c>
      <c r="B8" t="inlineStr">
        <is>
          <t>3%</t>
        </is>
      </c>
    </row>
    <row r="9">
      <c r="A9" t="inlineStr">
        <is>
          <t>WACC (Discount Rate)</t>
        </is>
      </c>
      <c r="B9" t="inlineStr">
        <is>
          <t>10%</t>
        </is>
      </c>
    </row>
    <row r="10">
      <c r="A10" t="inlineStr">
        <is>
          <t>Tax Rate</t>
        </is>
      </c>
      <c r="B10" t="inlineStr">
        <is>
          <t>25%</t>
        </is>
      </c>
    </row>
    <row r="11">
      <c r="A11" t="inlineStr">
        <is>
          <t>EBITDA Margin</t>
        </is>
      </c>
      <c r="B11" t="inlineStr">
        <is>
          <t>20%</t>
        </is>
      </c>
    </row>
    <row r="12">
      <c r="A12" t="inlineStr">
        <is>
          <t>Capex as % of Revenue</t>
        </is>
      </c>
      <c r="B12" t="inlineStr">
        <is>
          <t>3%</t>
        </is>
      </c>
    </row>
    <row r="13">
      <c r="A13" t="inlineStr">
        <is>
          <t>Working Capital Change</t>
        </is>
      </c>
      <c r="B13" t="inlineStr">
        <is>
          <t>1%</t>
        </is>
      </c>
    </row>
    <row r="15">
      <c r="A15" s="5" t="inlineStr">
        <is>
          <t>Current</t>
        </is>
      </c>
      <c r="B15" s="5" t="inlineStr">
        <is>
          <t>Year 1</t>
        </is>
      </c>
      <c r="C15" s="5" t="inlineStr">
        <is>
          <t>Year 2</t>
        </is>
      </c>
      <c r="D15" s="5" t="inlineStr">
        <is>
          <t>Year 3</t>
        </is>
      </c>
      <c r="E15" s="5" t="inlineStr">
        <is>
          <t>Year 4</t>
        </is>
      </c>
      <c r="F15" s="5" t="inlineStr">
        <is>
          <t>Year 5</t>
        </is>
      </c>
      <c r="G15" s="5" t="inlineStr">
        <is>
          <t>Terminal</t>
        </is>
      </c>
    </row>
    <row r="16">
      <c r="A16" t="inlineStr">
        <is>
          <t>Revenue</t>
        </is>
      </c>
      <c r="B16" t="n">
        <v>15222700000</v>
      </c>
      <c r="C16">
        <f>B16*(1+$B$7)</f>
        <v/>
      </c>
      <c r="D16">
        <f>C16*(1+$B$7)</f>
        <v/>
      </c>
      <c r="E16">
        <f>D16*(1+$B$7)</f>
        <v/>
      </c>
      <c r="F16">
        <f>E16*(1+$B$7)</f>
        <v/>
      </c>
      <c r="G16">
        <f>F16*(1+$B$7)</f>
        <v/>
      </c>
      <c r="H16">
        <f>G16*(1+$B$8)</f>
        <v/>
      </c>
    </row>
    <row r="17">
      <c r="A17" t="inlineStr">
        <is>
          <t>EBITDA</t>
        </is>
      </c>
      <c r="B17">
        <f>B16*$B$10</f>
        <v/>
      </c>
      <c r="C17">
        <f>C16*$B$10</f>
        <v/>
      </c>
      <c r="D17">
        <f>D16*$B$10</f>
        <v/>
      </c>
      <c r="E17">
        <f>E16*$B$10</f>
        <v/>
      </c>
      <c r="F17">
        <f>F16*$B$10</f>
        <v/>
      </c>
      <c r="G17">
        <f>G16*$B$10</f>
        <v/>
      </c>
      <c r="H17">
        <f>H16*$B$10</f>
        <v/>
      </c>
    </row>
    <row r="18">
      <c r="A18" t="inlineStr">
        <is>
          <t>EBIT</t>
        </is>
      </c>
      <c r="B18">
        <f>B17</f>
        <v/>
      </c>
      <c r="C18">
        <f>C17</f>
        <v/>
      </c>
      <c r="D18">
        <f>D17</f>
        <v/>
      </c>
      <c r="E18">
        <f>E17</f>
        <v/>
      </c>
      <c r="F18">
        <f>F17</f>
        <v/>
      </c>
      <c r="G18">
        <f>G17</f>
        <v/>
      </c>
      <c r="H18">
        <f>H17</f>
        <v/>
      </c>
    </row>
    <row r="19">
      <c r="A19" t="inlineStr">
        <is>
          <t>Tax</t>
        </is>
      </c>
      <c r="B19">
        <f>B18*$B$9</f>
        <v/>
      </c>
      <c r="C19">
        <f>C18*$B$9</f>
        <v/>
      </c>
      <c r="D19">
        <f>D18*$B$9</f>
        <v/>
      </c>
      <c r="E19">
        <f>E18*$B$9</f>
        <v/>
      </c>
      <c r="F19">
        <f>F18*$B$9</f>
        <v/>
      </c>
      <c r="G19">
        <f>G18*$B$9</f>
        <v/>
      </c>
      <c r="H19">
        <f>H18*$B$9</f>
        <v/>
      </c>
    </row>
    <row r="20">
      <c r="A20" t="inlineStr">
        <is>
          <t>NOPAT</t>
        </is>
      </c>
      <c r="B20">
        <f>B18-B19</f>
        <v/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</row>
    <row r="21">
      <c r="A21" t="inlineStr">
        <is>
          <t>Capex</t>
        </is>
      </c>
      <c r="B21">
        <f>B16*$B$11</f>
        <v/>
      </c>
      <c r="C21">
        <f>C16*$B$11</f>
        <v/>
      </c>
      <c r="D21">
        <f>D16*$B$11</f>
        <v/>
      </c>
      <c r="E21">
        <f>E16*$B$11</f>
        <v/>
      </c>
      <c r="F21">
        <f>F16*$B$11</f>
        <v/>
      </c>
      <c r="G21">
        <f>G16*$B$11</f>
        <v/>
      </c>
      <c r="H21">
        <f>H16*$B$11</f>
        <v/>
      </c>
    </row>
    <row r="22">
      <c r="A22" t="inlineStr">
        <is>
          <t>Working Capital Change</t>
        </is>
      </c>
      <c r="B22">
        <f>B16*$B$12</f>
        <v/>
      </c>
      <c r="C22">
        <f>C16*$B$12</f>
        <v/>
      </c>
      <c r="D22">
        <f>D16*$B$12</f>
        <v/>
      </c>
      <c r="E22">
        <f>E16*$B$12</f>
        <v/>
      </c>
      <c r="F22">
        <f>F16*$B$12</f>
        <v/>
      </c>
      <c r="G22">
        <f>G16*$B$12</f>
        <v/>
      </c>
      <c r="H22">
        <f>H16*$B$12</f>
        <v/>
      </c>
    </row>
    <row r="23">
      <c r="A23" t="inlineStr">
        <is>
          <t>Free Cash Flow</t>
        </is>
      </c>
      <c r="B23">
        <f>B20-B21-B22</f>
        <v/>
      </c>
      <c r="C23">
        <f>C20-C21-C22</f>
        <v/>
      </c>
      <c r="D23">
        <f>D20-D21-D22</f>
        <v/>
      </c>
      <c r="E23">
        <f>E20-E21-E22</f>
        <v/>
      </c>
      <c r="F23">
        <f>F20-F21-F22</f>
        <v/>
      </c>
      <c r="G23">
        <f>G20-G21-G22</f>
        <v/>
      </c>
      <c r="H23">
        <f>H20-H21-H22</f>
        <v/>
      </c>
    </row>
    <row r="25">
      <c r="A25" s="5" t="inlineStr">
        <is>
          <t>Valuation</t>
        </is>
      </c>
    </row>
    <row r="26">
      <c r="A26" t="inlineStr">
        <is>
          <t>Terminal Value</t>
        </is>
      </c>
      <c r="B26">
        <f>H23/($B$8-$B$10)</f>
        <v/>
      </c>
    </row>
    <row r="27">
      <c r="A27" t="inlineStr">
        <is>
          <t>PV of Terminal Value</t>
        </is>
      </c>
      <c r="B27">
        <f>B26/((1+$B$10)^5)</f>
        <v/>
      </c>
    </row>
    <row r="28">
      <c r="A28" t="inlineStr">
        <is>
          <t>Sum of PV of FCF (Years 1-5)</t>
        </is>
      </c>
      <c r="B28">
        <f>NPV($B$10,C23:G23)</f>
        <v/>
      </c>
    </row>
    <row r="29">
      <c r="A29" t="inlineStr">
        <is>
          <t>Enterprise Value</t>
        </is>
      </c>
      <c r="B29">
        <f>B27+B28</f>
        <v/>
      </c>
    </row>
    <row r="30">
      <c r="A30" t="inlineStr">
        <is>
          <t>Less: Net Debt</t>
        </is>
      </c>
      <c r="B30" t="n">
        <v>0</v>
      </c>
    </row>
    <row r="31">
      <c r="A31" t="inlineStr">
        <is>
          <t>Equity Value</t>
        </is>
      </c>
      <c r="B31">
        <f>B29-B30</f>
        <v/>
      </c>
    </row>
    <row r="32">
      <c r="A32" t="inlineStr">
        <is>
          <t>Shares Outstanding</t>
        </is>
      </c>
      <c r="B32" t="n">
        <v>846536148.2381531</v>
      </c>
    </row>
    <row r="33">
      <c r="A33" t="inlineStr">
        <is>
          <t>DCF Price per Share</t>
        </is>
      </c>
      <c r="B33">
        <f>B31/B32</f>
        <v/>
      </c>
    </row>
    <row r="34">
      <c r="A34" t="inlineStr">
        <is>
          <t>Current Price</t>
        </is>
      </c>
      <c r="B34" t="n">
        <v>98.76000000000001</v>
      </c>
    </row>
    <row r="35">
      <c r="A35" t="inlineStr">
        <is>
          <t>Upside/Downside</t>
        </is>
      </c>
      <c r="B35" s="6">
        <f>(B33-B34)/B34</f>
        <v/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DCF Sensitivity Analysis</t>
        </is>
      </c>
    </row>
    <row r="2">
      <c r="B2" s="5" t="inlineStr">
        <is>
          <t>8%</t>
        </is>
      </c>
      <c r="C2" s="5" t="inlineStr">
        <is>
          <t>9%</t>
        </is>
      </c>
      <c r="D2" s="5" t="inlineStr">
        <is>
          <t>10%</t>
        </is>
      </c>
      <c r="E2" s="5" t="inlineStr">
        <is>
          <t>11%</t>
        </is>
      </c>
      <c r="F2" s="5" t="inlineStr">
        <is>
          <t>12%</t>
        </is>
      </c>
      <c r="G2" s="5" t="inlineStr">
        <is>
          <t>13%</t>
        </is>
      </c>
      <c r="H2" s="5" t="inlineStr">
        <is>
          <t>14%</t>
        </is>
      </c>
    </row>
    <row r="3">
      <c r="A3" s="5" t="inlineStr">
        <is>
          <t>1%</t>
        </is>
      </c>
      <c r="B3" s="8">
        <f>((DCF Model.H23/0.01-0.08)/((1+0.08)^5)+NPV(0.08,DCF Model.C23:G23)-DCF Model.B30)/DCF Model.B32</f>
        <v/>
      </c>
      <c r="C3" s="8">
        <f>((DCF Model.H23/0.01-0.09)/((1+0.09)^5)+NPV(0.09,DCF Model.C23:G23)-DCF Model.B30)/DCF Model.B32</f>
        <v/>
      </c>
      <c r="D3" s="8">
        <f>((DCF Model.H23/0.01-0.1)/((1+0.1)^5)+NPV(0.1,DCF Model.C23:G23)-DCF Model.B30)/DCF Model.B32</f>
        <v/>
      </c>
      <c r="E3" s="8">
        <f>((DCF Model.H23/0.01-0.11)/((1+0.11)^5)+NPV(0.11,DCF Model.C23:G23)-DCF Model.B30)/DCF Model.B32</f>
        <v/>
      </c>
      <c r="F3" s="8">
        <f>((DCF Model.H23/0.01-0.12)/((1+0.12)^5)+NPV(0.12,DCF Model.C23:G23)-DCF Model.B30)/DCF Model.B32</f>
        <v/>
      </c>
      <c r="G3" s="8">
        <f>((DCF Model.H23/0.01-0.13)/((1+0.13)^5)+NPV(0.13,DCF Model.C23:G23)-DCF Model.B30)/DCF Model.B32</f>
        <v/>
      </c>
      <c r="H3" s="8">
        <f>((DCF Model.H23/0.01-0.14)/((1+0.14)^5)+NPV(0.14,DCF Model.C23:G23)-DCF Model.B30)/DCF Model.B32</f>
        <v/>
      </c>
    </row>
    <row r="4">
      <c r="A4" s="5" t="inlineStr">
        <is>
          <t>2%</t>
        </is>
      </c>
      <c r="B4" s="8">
        <f>((DCF Model.H23/0.02-0.08)/((1+0.08)^5)+NPV(0.08,DCF Model.C23:G23)-DCF Model.B30)/DCF Model.B32</f>
        <v/>
      </c>
      <c r="C4" s="8">
        <f>((DCF Model.H23/0.02-0.09)/((1+0.09)^5)+NPV(0.09,DCF Model.C23:G23)-DCF Model.B30)/DCF Model.B32</f>
        <v/>
      </c>
      <c r="D4" s="8">
        <f>((DCF Model.H23/0.02-0.1)/((1+0.1)^5)+NPV(0.1,DCF Model.C23:G23)-DCF Model.B30)/DCF Model.B32</f>
        <v/>
      </c>
      <c r="E4" s="8">
        <f>((DCF Model.H23/0.02-0.11)/((1+0.11)^5)+NPV(0.11,DCF Model.C23:G23)-DCF Model.B30)/DCF Model.B32</f>
        <v/>
      </c>
      <c r="F4" s="8">
        <f>((DCF Model.H23/0.02-0.12)/((1+0.12)^5)+NPV(0.12,DCF Model.C23:G23)-DCF Model.B30)/DCF Model.B32</f>
        <v/>
      </c>
      <c r="G4" s="8">
        <f>((DCF Model.H23/0.02-0.13)/((1+0.13)^5)+NPV(0.13,DCF Model.C23:G23)-DCF Model.B30)/DCF Model.B32</f>
        <v/>
      </c>
      <c r="H4" s="8">
        <f>((DCF Model.H23/0.02-0.14)/((1+0.14)^5)+NPV(0.14,DCF Model.C23:G23)-DCF Model.B30)/DCF Model.B32</f>
        <v/>
      </c>
    </row>
    <row r="5">
      <c r="A5" s="5" t="inlineStr">
        <is>
          <t>3%</t>
        </is>
      </c>
      <c r="B5" s="8">
        <f>((DCF Model.H23/0.03-0.08)/((1+0.08)^5)+NPV(0.08,DCF Model.C23:G23)-DCF Model.B30)/DCF Model.B32</f>
        <v/>
      </c>
      <c r="C5" s="8">
        <f>((DCF Model.H23/0.03-0.09)/((1+0.09)^5)+NPV(0.09,DCF Model.C23:G23)-DCF Model.B30)/DCF Model.B32</f>
        <v/>
      </c>
      <c r="D5" s="8">
        <f>((DCF Model.H23/0.03-0.1)/((1+0.1)^5)+NPV(0.1,DCF Model.C23:G23)-DCF Model.B30)/DCF Model.B32</f>
        <v/>
      </c>
      <c r="E5" s="8">
        <f>((DCF Model.H23/0.03-0.11)/((1+0.11)^5)+NPV(0.11,DCF Model.C23:G23)-DCF Model.B30)/DCF Model.B32</f>
        <v/>
      </c>
      <c r="F5" s="8">
        <f>((DCF Model.H23/0.03-0.12)/((1+0.12)^5)+NPV(0.12,DCF Model.C23:G23)-DCF Model.B30)/DCF Model.B32</f>
        <v/>
      </c>
      <c r="G5" s="8">
        <f>((DCF Model.H23/0.03-0.13)/((1+0.13)^5)+NPV(0.13,DCF Model.C23:G23)-DCF Model.B30)/DCF Model.B32</f>
        <v/>
      </c>
      <c r="H5" s="8">
        <f>((DCF Model.H23/0.03-0.14)/((1+0.14)^5)+NPV(0.14,DCF Model.C23:G23)-DCF Model.B30)/DCF Model.B32</f>
        <v/>
      </c>
    </row>
    <row r="6">
      <c r="A6" s="5" t="inlineStr">
        <is>
          <t>4%</t>
        </is>
      </c>
      <c r="B6" s="8">
        <f>((DCF Model.H23/0.04-0.08)/((1+0.08)^5)+NPV(0.08,DCF Model.C23:G23)-DCF Model.B30)/DCF Model.B32</f>
        <v/>
      </c>
      <c r="C6" s="8">
        <f>((DCF Model.H23/0.04-0.09)/((1+0.09)^5)+NPV(0.09,DCF Model.C23:G23)-DCF Model.B30)/DCF Model.B32</f>
        <v/>
      </c>
      <c r="D6" s="8">
        <f>((DCF Model.H23/0.04-0.1)/((1+0.1)^5)+NPV(0.1,DCF Model.C23:G23)-DCF Model.B30)/DCF Model.B32</f>
        <v/>
      </c>
      <c r="E6" s="8">
        <f>((DCF Model.H23/0.04-0.11)/((1+0.11)^5)+NPV(0.11,DCF Model.C23:G23)-DCF Model.B30)/DCF Model.B32</f>
        <v/>
      </c>
      <c r="F6" s="8">
        <f>((DCF Model.H23/0.04-0.12)/((1+0.12)^5)+NPV(0.12,DCF Model.C23:G23)-DCF Model.B30)/DCF Model.B32</f>
        <v/>
      </c>
      <c r="G6" s="8">
        <f>((DCF Model.H23/0.04-0.13)/((1+0.13)^5)+NPV(0.13,DCF Model.C23:G23)-DCF Model.B30)/DCF Model.B32</f>
        <v/>
      </c>
      <c r="H6" s="8">
        <f>((DCF Model.H23/0.04-0.14)/((1+0.14)^5)+NPV(0.14,DCF Model.C23:G23)-DCF Model.B30)/DCF Model.B32</f>
        <v/>
      </c>
    </row>
    <row r="7">
      <c r="A7" s="5" t="inlineStr">
        <is>
          <t>5%</t>
        </is>
      </c>
      <c r="B7" s="8">
        <f>((DCF Model.H23/0.05-0.08)/((1+0.08)^5)+NPV(0.08,DCF Model.C23:G23)-DCF Model.B30)/DCF Model.B32</f>
        <v/>
      </c>
      <c r="C7" s="8">
        <f>((DCF Model.H23/0.05-0.09)/((1+0.09)^5)+NPV(0.09,DCF Model.C23:G23)-DCF Model.B30)/DCF Model.B32</f>
        <v/>
      </c>
      <c r="D7" s="8">
        <f>((DCF Model.H23/0.05-0.1)/((1+0.1)^5)+NPV(0.1,DCF Model.C23:G23)-DCF Model.B30)/DCF Model.B32</f>
        <v/>
      </c>
      <c r="E7" s="8">
        <f>((DCF Model.H23/0.05-0.11)/((1+0.11)^5)+NPV(0.11,DCF Model.C23:G23)-DCF Model.B30)/DCF Model.B32</f>
        <v/>
      </c>
      <c r="F7" s="8">
        <f>((DCF Model.H23/0.05-0.12)/((1+0.12)^5)+NPV(0.12,DCF Model.C23:G23)-DCF Model.B30)/DCF Model.B32</f>
        <v/>
      </c>
      <c r="G7" s="8">
        <f>((DCF Model.H23/0.05-0.13)/((1+0.13)^5)+NPV(0.13,DCF Model.C23:G23)-DCF Model.B30)/DCF Model.B32</f>
        <v/>
      </c>
      <c r="H7" s="8">
        <f>((DCF Model.H23/0.05-0.14)/((1+0.14)^5)+NPV(0.14,DCF Model.C23:G23)-DCF Model.B30)/DCF Model.B32</f>
        <v/>
      </c>
    </row>
  </sheetData>
  <conditionalFormatting sqref="B3:H7">
    <cfRule type="colorScale" priority="1">
      <colorScale>
        <cfvo type="min"/>
        <cfvo type="percentile" val="50"/>
        <cfvo type="max"/>
        <color rgb="00FF6B6B"/>
        <color rgb="00FFEB3B"/>
        <color rgb="004CAF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2025-07-13T19:55:58Z</dcterms:created>
  <dcterms:modified xsi:type="dcterms:W3CDTF">2025-07-13T19:55:58Z</dcterms:modified>
</cp:coreProperties>
</file>