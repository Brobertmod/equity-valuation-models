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 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0000"/>
      <sz val="14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EV/Sales Valuation Model</t>
        </is>
      </c>
    </row>
    <row r="2">
      <c r="A2" t="inlineStr">
        <is>
          <t>Ticker Symbol:</t>
        </is>
      </c>
      <c r="B2" s="2" t="inlineStr">
        <is>
          <t>APH</t>
        </is>
      </c>
      <c r="D2" s="3" t="inlineStr">
        <is>
          <t>To analyze a new symbol:</t>
        </is>
      </c>
      <c r="E2" s="3" t="inlineStr">
        <is>
          <t>1. Change symbol in B2</t>
        </is>
      </c>
      <c r="F2" s="3" t="inlineStr">
        <is>
          <t>2. Run: python examples/analyze_stock.py [NEW_SYMBOL]</t>
        </is>
      </c>
    </row>
    <row r="3">
      <c r="A3" s="4" t="inlineStr">
        <is>
          <t>Model Inputs</t>
        </is>
      </c>
    </row>
    <row r="4">
      <c r="A4" t="inlineStr">
        <is>
          <t>Revenue (TTM):</t>
        </is>
      </c>
      <c r="B4" t="n">
        <v>15222700000</v>
      </c>
    </row>
    <row r="5">
      <c r="A5" t="inlineStr">
        <is>
          <t>Net Debt:</t>
        </is>
      </c>
      <c r="B5" t="n">
        <v>0</v>
      </c>
    </row>
    <row r="6">
      <c r="A6" t="inlineStr">
        <is>
          <t>Shares Outstanding:</t>
        </is>
      </c>
      <c r="B6" t="n">
        <v>846536148.2381531</v>
      </c>
    </row>
    <row r="7">
      <c r="A7" t="inlineStr">
        <is>
          <t>Current Price:</t>
        </is>
      </c>
      <c r="B7" t="n">
        <v>98.76000000000001</v>
      </c>
    </row>
    <row r="9">
      <c r="A9" s="4" t="inlineStr">
        <is>
          <t>Growth Assumptions</t>
        </is>
      </c>
    </row>
    <row r="10">
      <c r="A10" t="inlineStr">
        <is>
          <t>Revenue Growth Rate (Annual):</t>
        </is>
      </c>
      <c r="B10" s="5" t="n">
        <v>0.1</v>
      </c>
    </row>
    <row r="12">
      <c r="A12" s="4" t="inlineStr">
        <is>
          <t>5-Year Exit Valuation Analysis</t>
        </is>
      </c>
    </row>
    <row r="13">
      <c r="A13" s="4" t="inlineStr">
        <is>
          <t>Scenario</t>
        </is>
      </c>
      <c r="B13" s="4" t="inlineStr">
        <is>
          <t>Exit Multiple</t>
        </is>
      </c>
      <c r="C13" s="4" t="inlineStr">
        <is>
          <t>Year 5 Revenue</t>
        </is>
      </c>
      <c r="D13" s="4" t="inlineStr">
        <is>
          <t>Exit EV</t>
        </is>
      </c>
      <c r="E13" s="4" t="inlineStr">
        <is>
          <t>Exit Equity Value</t>
        </is>
      </c>
      <c r="F13" s="4" t="inlineStr">
        <is>
          <t>Exit Price</t>
        </is>
      </c>
      <c r="G13" s="4" t="inlineStr">
        <is>
          <t>Total Return</t>
        </is>
      </c>
    </row>
    <row r="14">
      <c r="A14" t="inlineStr">
        <is>
          <t>Conservative</t>
        </is>
      </c>
      <c r="B14" t="n">
        <v>2</v>
      </c>
      <c r="C14">
        <f>$B$4*(1+$B$10)^5</f>
        <v/>
      </c>
      <c r="D14">
        <f>C14*B14</f>
        <v/>
      </c>
      <c r="E14">
        <f>D14-$B$5</f>
        <v/>
      </c>
      <c r="F14">
        <f>E14/$B$6</f>
        <v/>
      </c>
      <c r="G14" s="5">
        <f>(F14/$B$7)^(1/5)-1</f>
        <v/>
      </c>
    </row>
    <row r="15">
      <c r="A15" t="inlineStr">
        <is>
          <t>Market Average</t>
        </is>
      </c>
      <c r="B15" t="n">
        <v>3.5</v>
      </c>
      <c r="C15">
        <f>$B$4*(1+$B$10)^5</f>
        <v/>
      </c>
      <c r="D15">
        <f>C15*B15</f>
        <v/>
      </c>
      <c r="E15">
        <f>D15-$B$5</f>
        <v/>
      </c>
      <c r="F15">
        <f>E15/$B$6</f>
        <v/>
      </c>
      <c r="G15" s="5">
        <f>(F15/$B$7)^(1/5)-1</f>
        <v/>
      </c>
    </row>
    <row r="16">
      <c r="A16" t="inlineStr">
        <is>
          <t>Premium</t>
        </is>
      </c>
      <c r="B16" t="n">
        <v>5</v>
      </c>
      <c r="C16">
        <f>$B$4*(1+$B$10)^5</f>
        <v/>
      </c>
      <c r="D16">
        <f>C16*B16</f>
        <v/>
      </c>
      <c r="E16">
        <f>D16-$B$5</f>
        <v/>
      </c>
      <c r="F16">
        <f>E16/$B$6</f>
        <v/>
      </c>
      <c r="G16" s="5">
        <f>(F16/$B$7)^(1/5)-1</f>
        <v/>
      </c>
    </row>
    <row r="17">
      <c r="A17" t="inlineStr">
        <is>
          <t>Current Multiple</t>
        </is>
      </c>
      <c r="B17" t="n">
        <v>7.448743003939848</v>
      </c>
      <c r="C17">
        <f>$B$4*(1+$B$10)^5</f>
        <v/>
      </c>
      <c r="D17">
        <f>C17*B17</f>
        <v/>
      </c>
      <c r="E17">
        <f>D17-$B$5</f>
        <v/>
      </c>
      <c r="F17">
        <f>E17/$B$6</f>
        <v/>
      </c>
      <c r="G17" s="5">
        <f>(F17/$B$7)^(1/5)-1</f>
        <v/>
      </c>
    </row>
    <row r="18">
      <c r="A18" t="inlineStr">
        <is>
          <t>Target Multiple</t>
        </is>
      </c>
      <c r="B18" t="n">
        <v>4.2</v>
      </c>
      <c r="C18">
        <f>$B$4*(1+$B$10)^5</f>
        <v/>
      </c>
      <c r="D18">
        <f>C18*B18</f>
        <v/>
      </c>
      <c r="E18">
        <f>D18-$B$5</f>
        <v/>
      </c>
      <c r="F18">
        <f>E18/$B$6</f>
        <v/>
      </c>
      <c r="G18" s="5">
        <f>(F18/$B$7)^(1/5)-1</f>
        <v/>
      </c>
    </row>
  </sheetData>
  <mergeCells count="4">
    <mergeCell ref="A9:B9"/>
    <mergeCell ref="A3:B3"/>
    <mergeCell ref="A1:F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2025-07-13T19:55:58Z</dcterms:created>
  <dcterms:modified xsi:type="dcterms:W3CDTF">2025-07-13T19:55:58Z</dcterms:modified>
</cp:coreProperties>
</file>