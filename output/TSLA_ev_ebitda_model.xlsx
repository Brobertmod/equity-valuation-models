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sitivity Analysis" sheetId="2" state="visible" r:id="rId2"/>
    <sheet name="Financi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21" customWidth="1" min="4" max="4"/>
    <col width="14" customWidth="1" min="5" max="5"/>
    <col width="20" customWidth="1" min="6" max="6"/>
  </cols>
  <sheetData>
    <row r="1">
      <c r="A1" s="1" t="inlineStr">
        <is>
          <t>TSLA - EV/EBITDA Valuation Model</t>
        </is>
      </c>
    </row>
    <row r="2"/>
    <row r="3">
      <c r="A3" t="inlineStr">
        <is>
          <t>Company Name:</t>
        </is>
      </c>
      <c r="B3" t="inlineStr">
        <is>
          <t>Tesla, Inc.</t>
        </is>
      </c>
    </row>
    <row r="4">
      <c r="A4" t="inlineStr">
        <is>
          <t>Sector:</t>
        </is>
      </c>
      <c r="B4" t="inlineStr">
        <is>
          <t>Consumer Cyclical</t>
        </is>
      </c>
    </row>
    <row r="5">
      <c r="A5" t="inlineStr">
        <is>
          <t>Industry:</t>
        </is>
      </c>
      <c r="B5" t="inlineStr">
        <is>
          <t>Auto Manufacturers</t>
        </is>
      </c>
    </row>
    <row r="6">
      <c r="A6" t="inlineStr">
        <is>
          <t>Current Price:</t>
        </is>
      </c>
      <c r="B6" t="n">
        <v>313.51</v>
      </c>
    </row>
    <row r="7"/>
    <row r="8">
      <c r="A8" s="2" t="inlineStr">
        <is>
          <t>Key Metrics</t>
        </is>
      </c>
    </row>
    <row r="9">
      <c r="A9" t="inlineStr">
        <is>
          <t>Market Cap:</t>
        </is>
      </c>
      <c r="B9" t="n">
        <v>1009803198464</v>
      </c>
    </row>
    <row r="10">
      <c r="A10" t="inlineStr">
        <is>
          <t>Enterprise Value:</t>
        </is>
      </c>
      <c r="B10" t="n">
        <v>1007287198464</v>
      </c>
    </row>
    <row r="11">
      <c r="A11" t="inlineStr">
        <is>
          <t>Current EV/EBITDA:</t>
        </is>
      </c>
      <c r="B11" t="n">
        <v>79.687</v>
      </c>
    </row>
    <row r="12"/>
    <row r="13">
      <c r="A13" s="2" t="inlineStr">
        <is>
          <t>Model Inputs</t>
        </is>
      </c>
    </row>
    <row r="14">
      <c r="A14" t="inlineStr">
        <is>
          <t>EBITDA (TTM):</t>
        </is>
      </c>
      <c r="B14" t="n">
        <v>14708000000</v>
      </c>
    </row>
    <row r="15">
      <c r="A15" t="inlineStr">
        <is>
          <t>Net Debt:</t>
        </is>
      </c>
      <c r="B15" t="n">
        <v>-2516000000</v>
      </c>
    </row>
    <row r="16">
      <c r="A16" t="inlineStr">
        <is>
          <t>Shares Outstanding:</t>
        </is>
      </c>
      <c r="B16" t="n">
        <v>3220960092.067239</v>
      </c>
    </row>
    <row r="17">
      <c r="A17" t="inlineStr">
        <is>
          <t>Current Price:</t>
        </is>
      </c>
      <c r="B17" t="n">
        <v>313.51</v>
      </c>
    </row>
    <row r="18"/>
    <row r="19">
      <c r="A19" s="2" t="inlineStr">
        <is>
          <t>Valuation Analysis</t>
        </is>
      </c>
    </row>
    <row r="20">
      <c r="A20" s="3" t="inlineStr">
        <is>
          <t>Scenario</t>
        </is>
      </c>
      <c r="B20" s="3" t="inlineStr">
        <is>
          <t>EV/EBITDA Multiple</t>
        </is>
      </c>
      <c r="C20" s="3" t="inlineStr">
        <is>
          <t>Target EV</t>
        </is>
      </c>
      <c r="D20" s="3" t="inlineStr">
        <is>
          <t>Target Equity Value</t>
        </is>
      </c>
      <c r="E20" s="3" t="inlineStr">
        <is>
          <t>Target Price</t>
        </is>
      </c>
      <c r="F20" s="3" t="inlineStr">
        <is>
          <t>Upside/Downside</t>
        </is>
      </c>
    </row>
    <row r="21">
      <c r="A21" t="inlineStr">
        <is>
          <t>Bear Case</t>
        </is>
      </c>
      <c r="B21" t="n">
        <v>15</v>
      </c>
      <c r="C21">
        <f>$B$14*B21</f>
        <v/>
      </c>
      <c r="D21">
        <f>C21-$B$15</f>
        <v/>
      </c>
      <c r="E21">
        <f>D21/$B$16</f>
        <v/>
      </c>
      <c r="F21" s="4">
        <f>(E21-$B$17)/$B$17</f>
        <v/>
      </c>
    </row>
    <row r="22">
      <c r="A22" t="inlineStr">
        <is>
          <t>Base Case</t>
        </is>
      </c>
      <c r="B22" t="n">
        <v>18</v>
      </c>
      <c r="C22">
        <f>$B$14*B22</f>
        <v/>
      </c>
      <c r="D22">
        <f>C22-$B$15</f>
        <v/>
      </c>
      <c r="E22">
        <f>D22/$B$16</f>
        <v/>
      </c>
      <c r="F22" s="4">
        <f>(E22-$B$17)/$B$17</f>
        <v/>
      </c>
    </row>
    <row r="23">
      <c r="A23" t="inlineStr">
        <is>
          <t>Bull Case</t>
        </is>
      </c>
      <c r="B23" t="n">
        <v>22</v>
      </c>
      <c r="C23">
        <f>$B$14*B23</f>
        <v/>
      </c>
      <c r="D23">
        <f>C23-$B$15</f>
        <v/>
      </c>
      <c r="E23">
        <f>D23/$B$16</f>
        <v/>
      </c>
      <c r="F23" s="4">
        <f>(E23-$B$17)/$B$17</f>
        <v/>
      </c>
    </row>
    <row r="24">
      <c r="A24" t="inlineStr">
        <is>
          <t>Current Multiple</t>
        </is>
      </c>
      <c r="B24" t="n">
        <v>79.687</v>
      </c>
      <c r="C24">
        <f>$B$14*B24</f>
        <v/>
      </c>
      <c r="D24">
        <f>C24-$B$15</f>
        <v/>
      </c>
      <c r="E24">
        <f>D24/$B$16</f>
        <v/>
      </c>
      <c r="F24" s="4">
        <f>(E24-$B$17)/$B$17</f>
        <v/>
      </c>
    </row>
    <row r="25">
      <c r="A25" t="inlineStr">
        <is>
          <t>Test Scenario</t>
        </is>
      </c>
      <c r="B25" t="n">
        <v>19.5</v>
      </c>
      <c r="C25">
        <f>$B$14*B25</f>
        <v/>
      </c>
      <c r="D25">
        <f>C25-$B$15</f>
        <v/>
      </c>
      <c r="E25">
        <f>D25/$B$16</f>
        <v/>
      </c>
      <c r="F25" s="4">
        <f>(E25-$B$17)/$B$17</f>
        <v/>
      </c>
    </row>
  </sheetData>
  <mergeCells count="4">
    <mergeCell ref="A19:F19"/>
    <mergeCell ref="A8:B8"/>
    <mergeCell ref="A1:F1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5" t="inlineStr">
        <is>
          <t>EV/EBITDA Sensitivity Analysis</t>
        </is>
      </c>
    </row>
    <row r="2">
      <c r="B2" s="2" t="inlineStr">
        <is>
          <t>14x</t>
        </is>
      </c>
      <c r="C2" s="2" t="inlineStr">
        <is>
          <t>15x</t>
        </is>
      </c>
      <c r="D2" s="2" t="inlineStr">
        <is>
          <t>16x</t>
        </is>
      </c>
      <c r="E2" s="2" t="inlineStr">
        <is>
          <t>17x</t>
        </is>
      </c>
      <c r="F2" s="2" t="inlineStr">
        <is>
          <t>18x</t>
        </is>
      </c>
      <c r="G2" s="2" t="inlineStr">
        <is>
          <t>19x</t>
        </is>
      </c>
      <c r="H2" s="2" t="inlineStr">
        <is>
          <t>20x</t>
        </is>
      </c>
      <c r="I2" s="2" t="inlineStr">
        <is>
          <t>21x</t>
        </is>
      </c>
      <c r="J2" s="2" t="inlineStr">
        <is>
          <t>22x</t>
        </is>
      </c>
      <c r="K2" s="2" t="inlineStr">
        <is>
          <t>23x</t>
        </is>
      </c>
      <c r="L2" s="2" t="inlineStr">
        <is>
          <t>24x</t>
        </is>
      </c>
    </row>
    <row r="3">
      <c r="A3" s="2" t="inlineStr">
        <is>
          <t>-10%</t>
        </is>
      </c>
      <c r="B3" s="6">
        <f>(Summary.$B$14*(1+-0.1)*14-Summary.$B$15)/Summary.$B$16</f>
        <v/>
      </c>
      <c r="C3" s="6">
        <f>(Summary.$B$14*(1+-0.1)*15-Summary.$B$15)/Summary.$B$16</f>
        <v/>
      </c>
      <c r="D3" s="6">
        <f>(Summary.$B$14*(1+-0.1)*16-Summary.$B$15)/Summary.$B$16</f>
        <v/>
      </c>
      <c r="E3" s="6">
        <f>(Summary.$B$14*(1+-0.1)*17-Summary.$B$15)/Summary.$B$16</f>
        <v/>
      </c>
      <c r="F3" s="6">
        <f>(Summary.$B$14*(1+-0.1)*18-Summary.$B$15)/Summary.$B$16</f>
        <v/>
      </c>
      <c r="G3" s="6">
        <f>(Summary.$B$14*(1+-0.1)*19-Summary.$B$15)/Summary.$B$16</f>
        <v/>
      </c>
      <c r="H3" s="6">
        <f>(Summary.$B$14*(1+-0.1)*20-Summary.$B$15)/Summary.$B$16</f>
        <v/>
      </c>
      <c r="I3" s="6">
        <f>(Summary.$B$14*(1+-0.1)*21-Summary.$B$15)/Summary.$B$16</f>
        <v/>
      </c>
      <c r="J3" s="6">
        <f>(Summary.$B$14*(1+-0.1)*22-Summary.$B$15)/Summary.$B$16</f>
        <v/>
      </c>
      <c r="K3" s="6">
        <f>(Summary.$B$14*(1+-0.1)*23-Summary.$B$15)/Summary.$B$16</f>
        <v/>
      </c>
      <c r="L3" s="6">
        <f>(Summary.$B$14*(1+-0.1)*24-Summary.$B$15)/Summary.$B$16</f>
        <v/>
      </c>
    </row>
    <row r="4">
      <c r="A4" s="2" t="inlineStr">
        <is>
          <t>-5%</t>
        </is>
      </c>
      <c r="B4" s="6">
        <f>(Summary.$B$14*(1+-0.05)*14-Summary.$B$15)/Summary.$B$16</f>
        <v/>
      </c>
      <c r="C4" s="6">
        <f>(Summary.$B$14*(1+-0.05)*15-Summary.$B$15)/Summary.$B$16</f>
        <v/>
      </c>
      <c r="D4" s="6">
        <f>(Summary.$B$14*(1+-0.05)*16-Summary.$B$15)/Summary.$B$16</f>
        <v/>
      </c>
      <c r="E4" s="6">
        <f>(Summary.$B$14*(1+-0.05)*17-Summary.$B$15)/Summary.$B$16</f>
        <v/>
      </c>
      <c r="F4" s="6">
        <f>(Summary.$B$14*(1+-0.05)*18-Summary.$B$15)/Summary.$B$16</f>
        <v/>
      </c>
      <c r="G4" s="6">
        <f>(Summary.$B$14*(1+-0.05)*19-Summary.$B$15)/Summary.$B$16</f>
        <v/>
      </c>
      <c r="H4" s="6">
        <f>(Summary.$B$14*(1+-0.05)*20-Summary.$B$15)/Summary.$B$16</f>
        <v/>
      </c>
      <c r="I4" s="6">
        <f>(Summary.$B$14*(1+-0.05)*21-Summary.$B$15)/Summary.$B$16</f>
        <v/>
      </c>
      <c r="J4" s="6">
        <f>(Summary.$B$14*(1+-0.05)*22-Summary.$B$15)/Summary.$B$16</f>
        <v/>
      </c>
      <c r="K4" s="6">
        <f>(Summary.$B$14*(1+-0.05)*23-Summary.$B$15)/Summary.$B$16</f>
        <v/>
      </c>
      <c r="L4" s="6">
        <f>(Summary.$B$14*(1+-0.05)*24-Summary.$B$15)/Summary.$B$16</f>
        <v/>
      </c>
    </row>
    <row r="5">
      <c r="A5" s="2" t="inlineStr">
        <is>
          <t>0%</t>
        </is>
      </c>
      <c r="B5" s="6">
        <f>(Summary.$B$14*(1+0.0)*14-Summary.$B$15)/Summary.$B$16</f>
        <v/>
      </c>
      <c r="C5" s="6">
        <f>(Summary.$B$14*(1+0.0)*15-Summary.$B$15)/Summary.$B$16</f>
        <v/>
      </c>
      <c r="D5" s="6">
        <f>(Summary.$B$14*(1+0.0)*16-Summary.$B$15)/Summary.$B$16</f>
        <v/>
      </c>
      <c r="E5" s="6">
        <f>(Summary.$B$14*(1+0.0)*17-Summary.$B$15)/Summary.$B$16</f>
        <v/>
      </c>
      <c r="F5" s="6">
        <f>(Summary.$B$14*(1+0.0)*18-Summary.$B$15)/Summary.$B$16</f>
        <v/>
      </c>
      <c r="G5" s="6">
        <f>(Summary.$B$14*(1+0.0)*19-Summary.$B$15)/Summary.$B$16</f>
        <v/>
      </c>
      <c r="H5" s="6">
        <f>(Summary.$B$14*(1+0.0)*20-Summary.$B$15)/Summary.$B$16</f>
        <v/>
      </c>
      <c r="I5" s="6">
        <f>(Summary.$B$14*(1+0.0)*21-Summary.$B$15)/Summary.$B$16</f>
        <v/>
      </c>
      <c r="J5" s="6">
        <f>(Summary.$B$14*(1+0.0)*22-Summary.$B$15)/Summary.$B$16</f>
        <v/>
      </c>
      <c r="K5" s="6">
        <f>(Summary.$B$14*(1+0.0)*23-Summary.$B$15)/Summary.$B$16</f>
        <v/>
      </c>
      <c r="L5" s="6">
        <f>(Summary.$B$14*(1+0.0)*24-Summary.$B$15)/Summary.$B$16</f>
        <v/>
      </c>
    </row>
    <row r="6">
      <c r="A6" s="2" t="inlineStr">
        <is>
          <t>5%</t>
        </is>
      </c>
      <c r="B6" s="6">
        <f>(Summary.$B$14*(1+0.05)*14-Summary.$B$15)/Summary.$B$16</f>
        <v/>
      </c>
      <c r="C6" s="6">
        <f>(Summary.$B$14*(1+0.05)*15-Summary.$B$15)/Summary.$B$16</f>
        <v/>
      </c>
      <c r="D6" s="6">
        <f>(Summary.$B$14*(1+0.05)*16-Summary.$B$15)/Summary.$B$16</f>
        <v/>
      </c>
      <c r="E6" s="6">
        <f>(Summary.$B$14*(1+0.05)*17-Summary.$B$15)/Summary.$B$16</f>
        <v/>
      </c>
      <c r="F6" s="6">
        <f>(Summary.$B$14*(1+0.05)*18-Summary.$B$15)/Summary.$B$16</f>
        <v/>
      </c>
      <c r="G6" s="6">
        <f>(Summary.$B$14*(1+0.05)*19-Summary.$B$15)/Summary.$B$16</f>
        <v/>
      </c>
      <c r="H6" s="6">
        <f>(Summary.$B$14*(1+0.05)*20-Summary.$B$15)/Summary.$B$16</f>
        <v/>
      </c>
      <c r="I6" s="6">
        <f>(Summary.$B$14*(1+0.05)*21-Summary.$B$15)/Summary.$B$16</f>
        <v/>
      </c>
      <c r="J6" s="6">
        <f>(Summary.$B$14*(1+0.05)*22-Summary.$B$15)/Summary.$B$16</f>
        <v/>
      </c>
      <c r="K6" s="6">
        <f>(Summary.$B$14*(1+0.05)*23-Summary.$B$15)/Summary.$B$16</f>
        <v/>
      </c>
      <c r="L6" s="6">
        <f>(Summary.$B$14*(1+0.05)*24-Summary.$B$15)/Summary.$B$16</f>
        <v/>
      </c>
    </row>
    <row r="7">
      <c r="A7" s="2" t="inlineStr">
        <is>
          <t>10%</t>
        </is>
      </c>
      <c r="B7" s="6">
        <f>(Summary.$B$14*(1+0.1)*14-Summary.$B$15)/Summary.$B$16</f>
        <v/>
      </c>
      <c r="C7" s="6">
        <f>(Summary.$B$14*(1+0.1)*15-Summary.$B$15)/Summary.$B$16</f>
        <v/>
      </c>
      <c r="D7" s="6">
        <f>(Summary.$B$14*(1+0.1)*16-Summary.$B$15)/Summary.$B$16</f>
        <v/>
      </c>
      <c r="E7" s="6">
        <f>(Summary.$B$14*(1+0.1)*17-Summary.$B$15)/Summary.$B$16</f>
        <v/>
      </c>
      <c r="F7" s="6">
        <f>(Summary.$B$14*(1+0.1)*18-Summary.$B$15)/Summary.$B$16</f>
        <v/>
      </c>
      <c r="G7" s="6">
        <f>(Summary.$B$14*(1+0.1)*19-Summary.$B$15)/Summary.$B$16</f>
        <v/>
      </c>
      <c r="H7" s="6">
        <f>(Summary.$B$14*(1+0.1)*20-Summary.$B$15)/Summary.$B$16</f>
        <v/>
      </c>
      <c r="I7" s="6">
        <f>(Summary.$B$14*(1+0.1)*21-Summary.$B$15)/Summary.$B$16</f>
        <v/>
      </c>
      <c r="J7" s="6">
        <f>(Summary.$B$14*(1+0.1)*22-Summary.$B$15)/Summary.$B$16</f>
        <v/>
      </c>
      <c r="K7" s="6">
        <f>(Summary.$B$14*(1+0.1)*23-Summary.$B$15)/Summary.$B$16</f>
        <v/>
      </c>
      <c r="L7" s="6">
        <f>(Summary.$B$14*(1+0.1)*24-Summary.$B$15)/Summary.$B$16</f>
        <v/>
      </c>
    </row>
    <row r="8">
      <c r="A8" s="2" t="inlineStr">
        <is>
          <t>15%</t>
        </is>
      </c>
      <c r="B8" s="6">
        <f>(Summary.$B$14*(1+0.15)*14-Summary.$B$15)/Summary.$B$16</f>
        <v/>
      </c>
      <c r="C8" s="6">
        <f>(Summary.$B$14*(1+0.15)*15-Summary.$B$15)/Summary.$B$16</f>
        <v/>
      </c>
      <c r="D8" s="6">
        <f>(Summary.$B$14*(1+0.15)*16-Summary.$B$15)/Summary.$B$16</f>
        <v/>
      </c>
      <c r="E8" s="6">
        <f>(Summary.$B$14*(1+0.15)*17-Summary.$B$15)/Summary.$B$16</f>
        <v/>
      </c>
      <c r="F8" s="6">
        <f>(Summary.$B$14*(1+0.15)*18-Summary.$B$15)/Summary.$B$16</f>
        <v/>
      </c>
      <c r="G8" s="6">
        <f>(Summary.$B$14*(1+0.15)*19-Summary.$B$15)/Summary.$B$16</f>
        <v/>
      </c>
      <c r="H8" s="6">
        <f>(Summary.$B$14*(1+0.15)*20-Summary.$B$15)/Summary.$B$16</f>
        <v/>
      </c>
      <c r="I8" s="6">
        <f>(Summary.$B$14*(1+0.15)*21-Summary.$B$15)/Summary.$B$16</f>
        <v/>
      </c>
      <c r="J8" s="6">
        <f>(Summary.$B$14*(1+0.15)*22-Summary.$B$15)/Summary.$B$16</f>
        <v/>
      </c>
      <c r="K8" s="6">
        <f>(Summary.$B$14*(1+0.15)*23-Summary.$B$15)/Summary.$B$16</f>
        <v/>
      </c>
      <c r="L8" s="6">
        <f>(Summary.$B$14*(1+0.15)*24-Summary.$B$15)/Summary.$B$16</f>
        <v/>
      </c>
    </row>
    <row r="9">
      <c r="A9" s="2" t="inlineStr">
        <is>
          <t>20%</t>
        </is>
      </c>
      <c r="B9" s="6">
        <f>(Summary.$B$14*(1+0.2)*14-Summary.$B$15)/Summary.$B$16</f>
        <v/>
      </c>
      <c r="C9" s="6">
        <f>(Summary.$B$14*(1+0.2)*15-Summary.$B$15)/Summary.$B$16</f>
        <v/>
      </c>
      <c r="D9" s="6">
        <f>(Summary.$B$14*(1+0.2)*16-Summary.$B$15)/Summary.$B$16</f>
        <v/>
      </c>
      <c r="E9" s="6">
        <f>(Summary.$B$14*(1+0.2)*17-Summary.$B$15)/Summary.$B$16</f>
        <v/>
      </c>
      <c r="F9" s="6">
        <f>(Summary.$B$14*(1+0.2)*18-Summary.$B$15)/Summary.$B$16</f>
        <v/>
      </c>
      <c r="G9" s="6">
        <f>(Summary.$B$14*(1+0.2)*19-Summary.$B$15)/Summary.$B$16</f>
        <v/>
      </c>
      <c r="H9" s="6">
        <f>(Summary.$B$14*(1+0.2)*20-Summary.$B$15)/Summary.$B$16</f>
        <v/>
      </c>
      <c r="I9" s="6">
        <f>(Summary.$B$14*(1+0.2)*21-Summary.$B$15)/Summary.$B$16</f>
        <v/>
      </c>
      <c r="J9" s="6">
        <f>(Summary.$B$14*(1+0.2)*22-Summary.$B$15)/Summary.$B$16</f>
        <v/>
      </c>
      <c r="K9" s="6">
        <f>(Summary.$B$14*(1+0.2)*23-Summary.$B$15)/Summary.$B$16</f>
        <v/>
      </c>
      <c r="L9" s="6">
        <f>(Summary.$B$14*(1+0.2)*24-Summary.$B$15)/Summary.$B$16</f>
        <v/>
      </c>
    </row>
  </sheetData>
  <mergeCells count="1">
    <mergeCell ref="A1:K1"/>
  </mergeCells>
  <conditionalFormatting sqref="B3:L9">
    <cfRule type="colorScale" priority="1">
      <colorScale>
        <cfvo type="min"/>
        <cfvo type="percentile" val="50"/>
        <cfvo type="max"/>
        <color rgb="00FF6B6B"/>
        <color rgb="00FFEB3B"/>
        <color rgb="004CAF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7" t="inlineStr">
        <is>
          <t>Income Statement (Latest)</t>
        </is>
      </c>
    </row>
    <row r="2"/>
    <row r="3">
      <c r="A3" t="inlineStr">
        <is>
          <t>Tax Effect Of Unusual Items</t>
        </is>
      </c>
      <c r="B3" t="n">
        <v>-136800000</v>
      </c>
    </row>
    <row r="4">
      <c r="A4" t="inlineStr">
        <is>
          <t>Tax Rate For Calcs</t>
        </is>
      </c>
      <c r="B4" t="n">
        <v>0.2</v>
      </c>
    </row>
    <row r="5">
      <c r="A5" t="inlineStr">
        <is>
          <t>Normalized EBITDA</t>
        </is>
      </c>
      <c r="B5" t="n">
        <v>15392000000</v>
      </c>
    </row>
    <row r="6">
      <c r="A6" t="inlineStr">
        <is>
          <t>Total Unusual Items</t>
        </is>
      </c>
      <c r="B6" t="n">
        <v>-684000000</v>
      </c>
    </row>
    <row r="7">
      <c r="A7" t="inlineStr">
        <is>
          <t>Total Unusual Items Excluding Goodwill</t>
        </is>
      </c>
      <c r="B7" t="n">
        <v>-684000000</v>
      </c>
    </row>
    <row r="8">
      <c r="A8" t="inlineStr">
        <is>
          <t>Net Income From Continuing Operation Net Minority Interest</t>
        </is>
      </c>
      <c r="B8" t="n">
        <v>7130000000</v>
      </c>
    </row>
    <row r="9">
      <c r="A9" t="inlineStr">
        <is>
          <t>Reconciled Depreciation</t>
        </is>
      </c>
      <c r="B9" t="n">
        <v>5368000000</v>
      </c>
    </row>
    <row r="10">
      <c r="A10" t="inlineStr">
        <is>
          <t>Reconciled Cost Of Revenue</t>
        </is>
      </c>
      <c r="B10" t="n">
        <v>80240000000</v>
      </c>
    </row>
    <row r="11">
      <c r="A11" t="inlineStr">
        <is>
          <t>EBITDA</t>
        </is>
      </c>
      <c r="B11" t="n">
        <v>14708000000</v>
      </c>
    </row>
    <row r="12">
      <c r="A12" t="inlineStr">
        <is>
          <t>EBIT</t>
        </is>
      </c>
      <c r="B12" t="n">
        <v>9340000000</v>
      </c>
    </row>
    <row r="13">
      <c r="A13" t="inlineStr">
        <is>
          <t>Net Interest Income</t>
        </is>
      </c>
      <c r="B13" t="n">
        <v>1219000000</v>
      </c>
    </row>
    <row r="14">
      <c r="A14" t="inlineStr">
        <is>
          <t>Interest Expense</t>
        </is>
      </c>
      <c r="B14" t="n">
        <v>350000000</v>
      </c>
    </row>
    <row r="15">
      <c r="A15" t="inlineStr">
        <is>
          <t>Interest Income</t>
        </is>
      </c>
      <c r="B15" t="n">
        <v>1569000000</v>
      </c>
    </row>
    <row r="16">
      <c r="A16" t="inlineStr">
        <is>
          <t>Normalized Income</t>
        </is>
      </c>
      <c r="B16" t="n">
        <v>7677200000</v>
      </c>
    </row>
    <row r="17">
      <c r="A17" t="inlineStr">
        <is>
          <t>Net Income From Continuing And Discontinued Operation</t>
        </is>
      </c>
      <c r="B17" t="n">
        <v>7130000000</v>
      </c>
    </row>
    <row r="18">
      <c r="A18" t="inlineStr">
        <is>
          <t>Total Expenses</t>
        </is>
      </c>
      <c r="B18" t="n">
        <v>89930000000</v>
      </c>
    </row>
    <row r="19">
      <c r="A19" t="inlineStr">
        <is>
          <t>Rent Expense Supplemental</t>
        </is>
      </c>
      <c r="B19" t="n">
        <v>1003000000</v>
      </c>
    </row>
    <row r="20">
      <c r="A20" t="inlineStr">
        <is>
          <t>Total Operating Income As Reported</t>
        </is>
      </c>
      <c r="B20" t="n">
        <v>7076000000</v>
      </c>
    </row>
    <row r="21">
      <c r="A21" t="inlineStr">
        <is>
          <t>Diluted Average Shares</t>
        </is>
      </c>
      <c r="B21" t="n">
        <v>3216000000</v>
      </c>
    </row>
    <row r="22">
      <c r="A22" t="inlineStr">
        <is>
          <t>Basic Average Shares</t>
        </is>
      </c>
      <c r="B22" t="n">
        <v>3216000000</v>
      </c>
    </row>
    <row r="23">
      <c r="A23" t="inlineStr">
        <is>
          <t>Diluted EPS</t>
        </is>
      </c>
      <c r="B23" t="n">
        <v>2.04</v>
      </c>
    </row>
    <row r="24">
      <c r="A24" t="inlineStr">
        <is>
          <t>Basic EPS</t>
        </is>
      </c>
      <c r="B24" t="n">
        <v>2.23</v>
      </c>
    </row>
    <row r="25">
      <c r="A25" t="inlineStr">
        <is>
          <t>Diluted NI Availto Com Stockholders</t>
        </is>
      </c>
      <c r="B25" t="n">
        <v>7130000000</v>
      </c>
    </row>
    <row r="26">
      <c r="A26" t="inlineStr">
        <is>
          <t>Average Dilution Earnings</t>
        </is>
      </c>
      <c r="B26" t="n">
        <v>0</v>
      </c>
    </row>
    <row r="27">
      <c r="A27" t="inlineStr">
        <is>
          <t>Net Income Common Stockholders</t>
        </is>
      </c>
      <c r="B27" t="n">
        <v>7130000000</v>
      </c>
    </row>
    <row r="28">
      <c r="A28" t="inlineStr">
        <is>
          <t>Otherunder Preferred Stock Dividend</t>
        </is>
      </c>
      <c r="B28" t="n">
        <v/>
      </c>
    </row>
    <row r="29">
      <c r="A29" t="inlineStr">
        <is>
          <t>Net Income</t>
        </is>
      </c>
      <c r="B29" t="n">
        <v>7130000000</v>
      </c>
    </row>
    <row r="30">
      <c r="A30" t="inlineStr">
        <is>
          <t>Minority Interests</t>
        </is>
      </c>
      <c r="B30" t="n">
        <v>-23000000</v>
      </c>
    </row>
    <row r="31">
      <c r="A31" t="inlineStr">
        <is>
          <t>Net Income Including Noncontrolling Interests</t>
        </is>
      </c>
      <c r="B31" t="n">
        <v>7153000000</v>
      </c>
    </row>
    <row r="32">
      <c r="A32" t="inlineStr">
        <is>
          <t>Net Income Continuous Operations</t>
        </is>
      </c>
      <c r="B32" t="n">
        <v>7153000000</v>
      </c>
    </row>
    <row r="33">
      <c r="A33" t="inlineStr">
        <is>
          <t>Tax Provision</t>
        </is>
      </c>
      <c r="B33" t="n">
        <v>1837000000</v>
      </c>
    </row>
    <row r="34">
      <c r="A34" t="inlineStr">
        <is>
          <t>Pretax Income</t>
        </is>
      </c>
      <c r="B34" t="n">
        <v>8990000000</v>
      </c>
    </row>
    <row r="35">
      <c r="A35" t="inlineStr">
        <is>
          <t>Other Income Expense</t>
        </is>
      </c>
      <c r="B35" t="n">
        <v>11000000</v>
      </c>
    </row>
    <row r="36">
      <c r="A36" t="inlineStr">
        <is>
          <t>Other Non Operating Income Expenses</t>
        </is>
      </c>
      <c r="B36" t="n">
        <v>695000000</v>
      </c>
    </row>
    <row r="37">
      <c r="A37" t="inlineStr">
        <is>
          <t>Special Income Charges</t>
        </is>
      </c>
      <c r="B37" t="n">
        <v>-684000000</v>
      </c>
    </row>
    <row r="38">
      <c r="A38" t="inlineStr">
        <is>
          <t>Restructuring And Mergern Acquisition</t>
        </is>
      </c>
      <c r="B38" t="n">
        <v>684000000</v>
      </c>
    </row>
    <row r="39">
      <c r="A39" t="inlineStr">
        <is>
          <t>Net Non Operating Interest Income Expense</t>
        </is>
      </c>
      <c r="B39" t="n">
        <v>1219000000</v>
      </c>
    </row>
    <row r="40">
      <c r="A40" t="inlineStr">
        <is>
          <t>Interest Expense Non Operating</t>
        </is>
      </c>
      <c r="B40" t="n">
        <v>350000000</v>
      </c>
    </row>
    <row r="41">
      <c r="A41" t="inlineStr">
        <is>
          <t>Interest Income Non Operating</t>
        </is>
      </c>
      <c r="B41" t="n">
        <v>1569000000</v>
      </c>
    </row>
    <row r="42">
      <c r="A42" t="inlineStr">
        <is>
          <t>Operating Income</t>
        </is>
      </c>
      <c r="B42" t="n">
        <v>7760000000</v>
      </c>
    </row>
    <row r="43">
      <c r="A43" t="inlineStr">
        <is>
          <t>Operating Expense</t>
        </is>
      </c>
      <c r="B43" t="n">
        <v>9690000000</v>
      </c>
    </row>
    <row r="44">
      <c r="A44" t="inlineStr">
        <is>
          <t>Research And Development</t>
        </is>
      </c>
      <c r="B44" t="n">
        <v>4540000000</v>
      </c>
    </row>
    <row r="45">
      <c r="A45" t="inlineStr">
        <is>
          <t>Selling General And Administration</t>
        </is>
      </c>
      <c r="B45" t="n">
        <v>5150000000</v>
      </c>
    </row>
    <row r="46">
      <c r="A46" t="inlineStr">
        <is>
          <t>Gross Profit</t>
        </is>
      </c>
      <c r="B46" t="n">
        <v>17450000000</v>
      </c>
    </row>
    <row r="47">
      <c r="A47" t="inlineStr">
        <is>
          <t>Cost Of Revenue</t>
        </is>
      </c>
      <c r="B47" t="n">
        <v>80240000000</v>
      </c>
    </row>
    <row r="48">
      <c r="A48" t="inlineStr">
        <is>
          <t>Total Revenue</t>
        </is>
      </c>
      <c r="B48" t="n">
        <v>97690000000</v>
      </c>
    </row>
    <row r="49">
      <c r="A49" t="inlineStr">
        <is>
          <t>Operating Revenue</t>
        </is>
      </c>
      <c r="B49" t="n">
        <v>97690000000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2025-07-12T21:01:56Z</dcterms:created>
  <dcterms:modified xsi:type="dcterms:W3CDTF">2025-07-12T21:01:56Z</dcterms:modified>
</cp:coreProperties>
</file>