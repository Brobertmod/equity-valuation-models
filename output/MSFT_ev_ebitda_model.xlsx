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nsitivity Analysis" sheetId="2" state="visible" r:id="rId2"/>
    <sheet name="Financial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0.00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11" customWidth="1" min="3" max="3"/>
    <col width="21" customWidth="1" min="4" max="4"/>
    <col width="20" customWidth="1" min="5" max="5"/>
    <col width="21" customWidth="1" min="6" max="6"/>
  </cols>
  <sheetData>
    <row r="1">
      <c r="A1" s="1" t="inlineStr">
        <is>
          <t>MSFT - EV/EBITDA Valuation Model</t>
        </is>
      </c>
    </row>
    <row r="2"/>
    <row r="3">
      <c r="A3" t="inlineStr">
        <is>
          <t>Company Name:</t>
        </is>
      </c>
      <c r="B3" t="inlineStr">
        <is>
          <t>Microsoft Corporation</t>
        </is>
      </c>
    </row>
    <row r="4">
      <c r="A4" t="inlineStr">
        <is>
          <t>Sector:</t>
        </is>
      </c>
      <c r="B4" t="inlineStr">
        <is>
          <t>Technology</t>
        </is>
      </c>
    </row>
    <row r="5">
      <c r="A5" t="inlineStr">
        <is>
          <t>Industry:</t>
        </is>
      </c>
      <c r="B5" t="inlineStr">
        <is>
          <t>Software - Infrastructure</t>
        </is>
      </c>
    </row>
    <row r="6">
      <c r="A6" t="inlineStr">
        <is>
          <t>Current Price:</t>
        </is>
      </c>
      <c r="B6" t="n">
        <v>503.32</v>
      </c>
    </row>
    <row r="7"/>
    <row r="8">
      <c r="A8" s="2" t="inlineStr">
        <is>
          <t>Key Metrics</t>
        </is>
      </c>
    </row>
    <row r="9">
      <c r="A9" t="inlineStr">
        <is>
          <t>Market Cap:</t>
        </is>
      </c>
      <c r="B9" t="n">
        <v>3740946137088</v>
      </c>
    </row>
    <row r="10">
      <c r="A10" t="inlineStr">
        <is>
          <t>Enterprise Value:</t>
        </is>
      </c>
      <c r="B10" t="n">
        <v>3789758137088</v>
      </c>
    </row>
    <row r="11">
      <c r="A11" t="inlineStr">
        <is>
          <t>Current EV/EBITDA:</t>
        </is>
      </c>
      <c r="B11" t="n">
        <v>24.954</v>
      </c>
    </row>
    <row r="12"/>
    <row r="13">
      <c r="A13" s="2" t="inlineStr">
        <is>
          <t>Valuation Analysis</t>
        </is>
      </c>
    </row>
    <row r="14">
      <c r="A14" s="3" t="inlineStr">
        <is>
          <t>Scenario</t>
        </is>
      </c>
      <c r="B14" s="3" t="inlineStr">
        <is>
          <t>EV/EBITDA Multiple</t>
        </is>
      </c>
      <c r="C14" s="3" t="inlineStr">
        <is>
          <t>Target EV</t>
        </is>
      </c>
      <c r="D14" s="3" t="inlineStr">
        <is>
          <t>Target Equity Value</t>
        </is>
      </c>
      <c r="E14" s="3" t="inlineStr">
        <is>
          <t>Target Price</t>
        </is>
      </c>
      <c r="F14" s="3" t="inlineStr">
        <is>
          <t>Upside/Downside</t>
        </is>
      </c>
    </row>
    <row r="15">
      <c r="A15" t="inlineStr">
        <is>
          <t>Bear Case</t>
        </is>
      </c>
      <c r="B15" t="n">
        <v>15</v>
      </c>
      <c r="C15" t="n">
        <v>0</v>
      </c>
      <c r="D15" t="n">
        <v>-48812000000</v>
      </c>
      <c r="E15" t="n">
        <v>-6.567337496905018</v>
      </c>
      <c r="F15" s="4" t="n">
        <v>-1.013048036034541</v>
      </c>
    </row>
    <row r="16">
      <c r="A16" t="inlineStr">
        <is>
          <t>Base Case</t>
        </is>
      </c>
      <c r="B16" t="n">
        <v>18</v>
      </c>
      <c r="C16" t="n">
        <v>0</v>
      </c>
      <c r="D16" t="n">
        <v>-48812000000</v>
      </c>
      <c r="E16" t="n">
        <v>-6.567337496905018</v>
      </c>
      <c r="F16" s="4" t="n">
        <v>-1.013048036034541</v>
      </c>
    </row>
    <row r="17">
      <c r="A17" t="inlineStr">
        <is>
          <t>Bull Case</t>
        </is>
      </c>
      <c r="B17" t="n">
        <v>22</v>
      </c>
      <c r="C17" t="n">
        <v>0</v>
      </c>
      <c r="D17" t="n">
        <v>-48812000000</v>
      </c>
      <c r="E17" t="n">
        <v>-6.567337496905018</v>
      </c>
      <c r="F17" s="4" t="n">
        <v>-1.013048036034541</v>
      </c>
    </row>
    <row r="18">
      <c r="A18" t="inlineStr">
        <is>
          <t>Current Multiple</t>
        </is>
      </c>
      <c r="B18" t="n">
        <v>24.954</v>
      </c>
      <c r="C18" t="n">
        <v>0</v>
      </c>
      <c r="D18" t="n">
        <v>-48812000000</v>
      </c>
      <c r="E18" t="n">
        <v>-6.567337496905018</v>
      </c>
      <c r="F18" s="4" t="n">
        <v>-1.013048036034541</v>
      </c>
    </row>
    <row r="19">
      <c r="A19" t="inlineStr">
        <is>
          <t>Test Scenario</t>
        </is>
      </c>
      <c r="B19" t="n">
        <v>19.5</v>
      </c>
      <c r="C19" t="n">
        <v>0</v>
      </c>
      <c r="D19" t="n">
        <v>-48812000000</v>
      </c>
      <c r="E19" t="n">
        <v>-6.567337496905018</v>
      </c>
      <c r="F19" s="4" t="n">
        <v>-1.013048036034541</v>
      </c>
    </row>
  </sheetData>
  <mergeCells count="3">
    <mergeCell ref="A13:F13"/>
    <mergeCell ref="A8:B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5" t="inlineStr">
        <is>
          <t>EV/EBITDA Sensitivity Analysis</t>
        </is>
      </c>
    </row>
    <row r="2">
      <c r="B2" s="2" t="inlineStr">
        <is>
          <t>14x</t>
        </is>
      </c>
      <c r="C2" s="2" t="inlineStr">
        <is>
          <t>15x</t>
        </is>
      </c>
      <c r="D2" s="2" t="inlineStr">
        <is>
          <t>16x</t>
        </is>
      </c>
      <c r="E2" s="2" t="inlineStr">
        <is>
          <t>17x</t>
        </is>
      </c>
      <c r="F2" s="2" t="inlineStr">
        <is>
          <t>18x</t>
        </is>
      </c>
      <c r="G2" s="2" t="inlineStr">
        <is>
          <t>19x</t>
        </is>
      </c>
      <c r="H2" s="2" t="inlineStr">
        <is>
          <t>20x</t>
        </is>
      </c>
      <c r="I2" s="2" t="inlineStr">
        <is>
          <t>21x</t>
        </is>
      </c>
      <c r="J2" s="2" t="inlineStr">
        <is>
          <t>22x</t>
        </is>
      </c>
      <c r="K2" s="2" t="inlineStr">
        <is>
          <t>23x</t>
        </is>
      </c>
      <c r="L2" s="2" t="inlineStr">
        <is>
          <t>24x</t>
        </is>
      </c>
    </row>
    <row r="3">
      <c r="A3" s="2" t="inlineStr">
        <is>
          <t>-10%</t>
        </is>
      </c>
      <c r="B3" s="6" t="n">
        <v>-6.567337496905018</v>
      </c>
      <c r="C3" s="6" t="n">
        <v>-6.567337496905018</v>
      </c>
      <c r="D3" s="6" t="n">
        <v>-6.567337496905018</v>
      </c>
      <c r="E3" s="6" t="n">
        <v>-6.567337496905018</v>
      </c>
      <c r="F3" s="6" t="n">
        <v>-6.567337496905018</v>
      </c>
      <c r="G3" s="6" t="n">
        <v>-6.567337496905018</v>
      </c>
      <c r="H3" s="6" t="n">
        <v>-6.567337496905018</v>
      </c>
      <c r="I3" s="6" t="n">
        <v>-6.567337496905018</v>
      </c>
      <c r="J3" s="6" t="n">
        <v>-6.567337496905018</v>
      </c>
      <c r="K3" s="6" t="n">
        <v>-6.567337496905018</v>
      </c>
      <c r="L3" s="6" t="n">
        <v>-6.567337496905018</v>
      </c>
    </row>
    <row r="4">
      <c r="A4" s="2" t="inlineStr">
        <is>
          <t>-5%</t>
        </is>
      </c>
      <c r="B4" s="6" t="n">
        <v>-6.567337496905018</v>
      </c>
      <c r="C4" s="6" t="n">
        <v>-6.567337496905018</v>
      </c>
      <c r="D4" s="6" t="n">
        <v>-6.567337496905018</v>
      </c>
      <c r="E4" s="6" t="n">
        <v>-6.567337496905018</v>
      </c>
      <c r="F4" s="6" t="n">
        <v>-6.567337496905018</v>
      </c>
      <c r="G4" s="6" t="n">
        <v>-6.567337496905018</v>
      </c>
      <c r="H4" s="6" t="n">
        <v>-6.567337496905018</v>
      </c>
      <c r="I4" s="6" t="n">
        <v>-6.567337496905018</v>
      </c>
      <c r="J4" s="6" t="n">
        <v>-6.567337496905018</v>
      </c>
      <c r="K4" s="6" t="n">
        <v>-6.567337496905018</v>
      </c>
      <c r="L4" s="6" t="n">
        <v>-6.567337496905018</v>
      </c>
    </row>
    <row r="5">
      <c r="A5" s="2" t="inlineStr">
        <is>
          <t>0%</t>
        </is>
      </c>
      <c r="B5" s="6" t="n">
        <v>-6.567337496905018</v>
      </c>
      <c r="C5" s="6" t="n">
        <v>-6.567337496905018</v>
      </c>
      <c r="D5" s="6" t="n">
        <v>-6.567337496905018</v>
      </c>
      <c r="E5" s="6" t="n">
        <v>-6.567337496905018</v>
      </c>
      <c r="F5" s="6" t="n">
        <v>-6.567337496905018</v>
      </c>
      <c r="G5" s="6" t="n">
        <v>-6.567337496905018</v>
      </c>
      <c r="H5" s="6" t="n">
        <v>-6.567337496905018</v>
      </c>
      <c r="I5" s="6" t="n">
        <v>-6.567337496905018</v>
      </c>
      <c r="J5" s="6" t="n">
        <v>-6.567337496905018</v>
      </c>
      <c r="K5" s="6" t="n">
        <v>-6.567337496905018</v>
      </c>
      <c r="L5" s="6" t="n">
        <v>-6.567337496905018</v>
      </c>
    </row>
    <row r="6">
      <c r="A6" s="2" t="inlineStr">
        <is>
          <t>5%</t>
        </is>
      </c>
      <c r="B6" s="6" t="n">
        <v>-6.567337496905018</v>
      </c>
      <c r="C6" s="6" t="n">
        <v>-6.567337496905018</v>
      </c>
      <c r="D6" s="6" t="n">
        <v>-6.567337496905018</v>
      </c>
      <c r="E6" s="6" t="n">
        <v>-6.567337496905018</v>
      </c>
      <c r="F6" s="6" t="n">
        <v>-6.567337496905018</v>
      </c>
      <c r="G6" s="6" t="n">
        <v>-6.567337496905018</v>
      </c>
      <c r="H6" s="6" t="n">
        <v>-6.567337496905018</v>
      </c>
      <c r="I6" s="6" t="n">
        <v>-6.567337496905018</v>
      </c>
      <c r="J6" s="6" t="n">
        <v>-6.567337496905018</v>
      </c>
      <c r="K6" s="6" t="n">
        <v>-6.567337496905018</v>
      </c>
      <c r="L6" s="6" t="n">
        <v>-6.567337496905018</v>
      </c>
    </row>
    <row r="7">
      <c r="A7" s="2" t="inlineStr">
        <is>
          <t>10%</t>
        </is>
      </c>
      <c r="B7" s="6" t="n">
        <v>-6.567337496905018</v>
      </c>
      <c r="C7" s="6" t="n">
        <v>-6.567337496905018</v>
      </c>
      <c r="D7" s="6" t="n">
        <v>-6.567337496905018</v>
      </c>
      <c r="E7" s="6" t="n">
        <v>-6.567337496905018</v>
      </c>
      <c r="F7" s="6" t="n">
        <v>-6.567337496905018</v>
      </c>
      <c r="G7" s="6" t="n">
        <v>-6.567337496905018</v>
      </c>
      <c r="H7" s="6" t="n">
        <v>-6.567337496905018</v>
      </c>
      <c r="I7" s="6" t="n">
        <v>-6.567337496905018</v>
      </c>
      <c r="J7" s="6" t="n">
        <v>-6.567337496905018</v>
      </c>
      <c r="K7" s="6" t="n">
        <v>-6.567337496905018</v>
      </c>
      <c r="L7" s="6" t="n">
        <v>-6.567337496905018</v>
      </c>
    </row>
    <row r="8">
      <c r="A8" s="2" t="inlineStr">
        <is>
          <t>15%</t>
        </is>
      </c>
      <c r="B8" s="6" t="n">
        <v>-6.567337496905018</v>
      </c>
      <c r="C8" s="6" t="n">
        <v>-6.567337496905018</v>
      </c>
      <c r="D8" s="6" t="n">
        <v>-6.567337496905018</v>
      </c>
      <c r="E8" s="6" t="n">
        <v>-6.567337496905018</v>
      </c>
      <c r="F8" s="6" t="n">
        <v>-6.567337496905018</v>
      </c>
      <c r="G8" s="6" t="n">
        <v>-6.567337496905018</v>
      </c>
      <c r="H8" s="6" t="n">
        <v>-6.567337496905018</v>
      </c>
      <c r="I8" s="6" t="n">
        <v>-6.567337496905018</v>
      </c>
      <c r="J8" s="6" t="n">
        <v>-6.567337496905018</v>
      </c>
      <c r="K8" s="6" t="n">
        <v>-6.567337496905018</v>
      </c>
      <c r="L8" s="6" t="n">
        <v>-6.567337496905018</v>
      </c>
    </row>
    <row r="9">
      <c r="A9" s="2" t="inlineStr">
        <is>
          <t>20%</t>
        </is>
      </c>
      <c r="B9" s="6" t="n">
        <v>-6.567337496905018</v>
      </c>
      <c r="C9" s="6" t="n">
        <v>-6.567337496905018</v>
      </c>
      <c r="D9" s="6" t="n">
        <v>-6.567337496905018</v>
      </c>
      <c r="E9" s="6" t="n">
        <v>-6.567337496905018</v>
      </c>
      <c r="F9" s="6" t="n">
        <v>-6.567337496905018</v>
      </c>
      <c r="G9" s="6" t="n">
        <v>-6.567337496905018</v>
      </c>
      <c r="H9" s="6" t="n">
        <v>-6.567337496905018</v>
      </c>
      <c r="I9" s="6" t="n">
        <v>-6.567337496905018</v>
      </c>
      <c r="J9" s="6" t="n">
        <v>-6.567337496905018</v>
      </c>
      <c r="K9" s="6" t="n">
        <v>-6.567337496905018</v>
      </c>
      <c r="L9" s="6" t="n">
        <v>-6.567337496905018</v>
      </c>
    </row>
  </sheetData>
  <mergeCells count="1">
    <mergeCell ref="A1:K1"/>
  </mergeCells>
  <conditionalFormatting sqref="B3:L9">
    <cfRule type="colorScale" priority="1">
      <colorScale>
        <cfvo type="min"/>
        <cfvo type="percentile" val="50"/>
        <cfvo type="max"/>
        <color rgb="00FF6B6B"/>
        <color rgb="00FFEB3B"/>
        <color rgb="004CAF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</cols>
  <sheetData>
    <row r="1">
      <c r="A1" s="7" t="inlineStr">
        <is>
          <t>Income Statement (Latest)</t>
        </is>
      </c>
    </row>
    <row r="2"/>
    <row r="3">
      <c r="A3" s="8" t="n">
        <v>45473</v>
      </c>
      <c r="B3" t="n">
        <v>-99918000</v>
      </c>
    </row>
    <row r="4">
      <c r="A4" s="8" t="n">
        <v>45107</v>
      </c>
      <c r="B4" t="n">
        <v>-2850000</v>
      </c>
    </row>
    <row r="5">
      <c r="A5" s="8" t="n">
        <v>44742</v>
      </c>
      <c r="B5" t="n">
        <v>43754000</v>
      </c>
    </row>
    <row r="6">
      <c r="A6" s="8" t="n">
        <v>44377</v>
      </c>
      <c r="B6" t="n">
        <v>180160797.164637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2025-07-12T16:59:56Z</dcterms:created>
  <dcterms:modified xsi:type="dcterms:W3CDTF">2025-07-12T16:59:56Z</dcterms:modified>
</cp:coreProperties>
</file>