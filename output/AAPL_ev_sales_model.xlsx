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 Sales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AAPL - EV/Sales Valuation Model</t>
        </is>
      </c>
    </row>
    <row r="3">
      <c r="A3" s="2" t="inlineStr">
        <is>
          <t>Model Inputs</t>
        </is>
      </c>
    </row>
    <row r="4">
      <c r="A4" t="inlineStr">
        <is>
          <t>Revenue (TTM):</t>
        </is>
      </c>
      <c r="B4" t="n">
        <v>391035000000</v>
      </c>
    </row>
    <row r="5">
      <c r="A5" t="inlineStr">
        <is>
          <t>Net Debt:</t>
        </is>
      </c>
      <c r="B5" t="n">
        <v>76686000000</v>
      </c>
    </row>
    <row r="6">
      <c r="A6" t="inlineStr">
        <is>
          <t>Shares Outstanding:</t>
        </is>
      </c>
      <c r="B6" t="n">
        <v>14935799649.32752</v>
      </c>
    </row>
    <row r="7">
      <c r="A7" t="inlineStr">
        <is>
          <t>Current Price:</t>
        </is>
      </c>
      <c r="B7" t="n">
        <v>211.16</v>
      </c>
    </row>
    <row r="9">
      <c r="A9" s="2" t="inlineStr">
        <is>
          <t>Valuation Analysis</t>
        </is>
      </c>
    </row>
    <row r="10">
      <c r="A10" s="2" t="inlineStr">
        <is>
          <t>Scenario</t>
        </is>
      </c>
      <c r="B10" s="2" t="inlineStr">
        <is>
          <t>EV/Sales Multiple</t>
        </is>
      </c>
      <c r="C10" s="2" t="inlineStr">
        <is>
          <t>Target EV</t>
        </is>
      </c>
      <c r="D10" s="2" t="inlineStr">
        <is>
          <t>Target Equity Value</t>
        </is>
      </c>
      <c r="E10" s="2" t="inlineStr">
        <is>
          <t>Target Price</t>
        </is>
      </c>
      <c r="F10" s="2" t="inlineStr">
        <is>
          <t>Upside/Downside</t>
        </is>
      </c>
    </row>
    <row r="11">
      <c r="A11" t="inlineStr">
        <is>
          <t>Conservative</t>
        </is>
      </c>
      <c r="B11" t="n">
        <v>2</v>
      </c>
      <c r="C11">
        <f>$B$4*B11</f>
        <v/>
      </c>
      <c r="D11">
        <f>C11-$B$5</f>
        <v/>
      </c>
      <c r="E11">
        <f>D11/$B$6</f>
        <v/>
      </c>
      <c r="F11" s="3">
        <f>(E11-$B$7)/$B$7</f>
        <v/>
      </c>
    </row>
    <row r="12">
      <c r="A12" t="inlineStr">
        <is>
          <t>Market Average</t>
        </is>
      </c>
      <c r="B12" t="n">
        <v>3.5</v>
      </c>
      <c r="C12">
        <f>$B$4*B12</f>
        <v/>
      </c>
      <c r="D12">
        <f>C12-$B$5</f>
        <v/>
      </c>
      <c r="E12">
        <f>D12/$B$6</f>
        <v/>
      </c>
      <c r="F12" s="3">
        <f>(E12-$B$7)/$B$7</f>
        <v/>
      </c>
    </row>
    <row r="13">
      <c r="A13" t="inlineStr">
        <is>
          <t>Premium</t>
        </is>
      </c>
      <c r="B13" t="n">
        <v>5</v>
      </c>
      <c r="C13">
        <f>$B$4*B13</f>
        <v/>
      </c>
      <c r="D13">
        <f>C13-$B$5</f>
        <v/>
      </c>
      <c r="E13">
        <f>D13/$B$6</f>
        <v/>
      </c>
      <c r="F13" s="3">
        <f>(E13-$B$7)/$B$7</f>
        <v/>
      </c>
    </row>
    <row r="14">
      <c r="A14" t="inlineStr">
        <is>
          <t>Current Multiple</t>
        </is>
      </c>
      <c r="B14" t="n">
        <v>7.778</v>
      </c>
      <c r="C14">
        <f>$B$4*B14</f>
        <v/>
      </c>
      <c r="D14">
        <f>C14-$B$5</f>
        <v/>
      </c>
      <c r="E14">
        <f>D14/$B$6</f>
        <v/>
      </c>
      <c r="F14" s="3">
        <f>(E14-$B$7)/$B$7</f>
        <v/>
      </c>
    </row>
    <row r="15">
      <c r="A15" t="inlineStr">
        <is>
          <t>Target Multiple</t>
        </is>
      </c>
      <c r="B15" t="n">
        <v>4.2</v>
      </c>
      <c r="C15">
        <f>$B$4*B15</f>
        <v/>
      </c>
      <c r="D15">
        <f>C15-$B$5</f>
        <v/>
      </c>
      <c r="E15">
        <f>D15/$B$6</f>
        <v/>
      </c>
      <c r="F15" s="3">
        <f>(E15-$B$7)/$B$7</f>
        <v/>
      </c>
    </row>
  </sheetData>
  <mergeCells count="3">
    <mergeCell ref="A3:B3"/>
    <mergeCell ref="A1:F1"/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2025-07-12T17:38:28Z</dcterms:created>
  <dcterms:modified xsi:type="dcterms:W3CDTF">2025-07-12T17:38:28Z</dcterms:modified>
</cp:coreProperties>
</file>